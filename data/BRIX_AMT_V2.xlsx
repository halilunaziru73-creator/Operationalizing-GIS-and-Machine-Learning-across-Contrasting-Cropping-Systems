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ad4-my.sharepoint.com/personal/al2025174166_alunos_utad_pt/Documents/QGIS_Refine/NS_LURDES_BRIX/NS_LURDES_BRIX/DBF_XLS_CSV/"/>
    </mc:Choice>
  </mc:AlternateContent>
  <xr:revisionPtr revIDLastSave="468" documentId="8_{6368EFBE-A05C-428A-A482-AD8AB76E380B}" xr6:coauthVersionLast="47" xr6:coauthVersionMax="47" xr10:uidLastSave="{B0C44612-062D-4581-949B-6BF519277D56}"/>
  <bookViews>
    <workbookView xWindow="-120" yWindow="-120" windowWidth="29040" windowHeight="15720" xr2:uid="{3CDBC0B5-FBAE-40CA-AFC4-671DB0A285A5}"/>
  </bookViews>
  <sheets>
    <sheet name="BRIX_AMT" sheetId="1" r:id="rId1"/>
  </sheets>
  <calcPr calcId="0"/>
</workbook>
</file>

<file path=xl/calcChain.xml><?xml version="1.0" encoding="utf-8"?>
<calcChain xmlns="http://schemas.openxmlformats.org/spreadsheetml/2006/main">
  <c r="C70" i="1" l="1"/>
  <c r="D70" i="1"/>
  <c r="E70" i="1"/>
  <c r="F70" i="1"/>
  <c r="B70" i="1"/>
  <c r="M22" i="1"/>
  <c r="L22" i="1"/>
  <c r="M20" i="1"/>
  <c r="M21" i="1"/>
  <c r="L19" i="1"/>
  <c r="L20" i="1" s="1"/>
  <c r="L21" i="1" s="1"/>
  <c r="M19" i="1" l="1"/>
</calcChain>
</file>

<file path=xl/sharedStrings.xml><?xml version="1.0" encoding="utf-8"?>
<sst xmlns="http://schemas.openxmlformats.org/spreadsheetml/2006/main" count="96" uniqueCount="29">
  <si>
    <t>Sample</t>
  </si>
  <si>
    <t>Jul_15</t>
  </si>
  <si>
    <t>Jul_30</t>
  </si>
  <si>
    <t>Aug_06</t>
  </si>
  <si>
    <t>Aug_15</t>
  </si>
  <si>
    <t>Aug_30</t>
  </si>
  <si>
    <t>XX_UTM</t>
  </si>
  <si>
    <t>YY_UTM</t>
  </si>
  <si>
    <t>DATE</t>
  </si>
  <si>
    <t>JULIAN DATE</t>
  </si>
  <si>
    <t>BRIX</t>
  </si>
  <si>
    <t>Jul_16</t>
  </si>
  <si>
    <t>Jul_17</t>
  </si>
  <si>
    <t>Jul_18</t>
  </si>
  <si>
    <t>Jul_19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</si>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</sst>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6" fillId="0" borderId="0" xfId="0" applyFo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TEMPORAL ANALYSIS OF BRIX USING A SIMPLE LINEAR REGRESSION</a:t>
            </a:r>
          </a:p>
        </c:rich>
      </c:tx>
      <c:layout>
        <c:manualLayout>
          <c:xMode val="edge"/>
          <c:yMode val="edge"/>
          <c:x val="0.1498193350831146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BRIX_AMT!$M$13</c:f>
              <c:strCache>
                <c:ptCount val="1"/>
                <c:pt idx="0">
                  <c:v>BRIX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10"/>
            <c:dispRSqr val="0"/>
            <c:dispEq val="1"/>
            <c:trendlineLbl>
              <c:layout>
                <c:manualLayout>
                  <c:x val="-0.16583595800524933"/>
                  <c:y val="-1.935185185185185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</a:t>
                    </a:r>
                    <a:r>
                      <a:rPr lang="en-US" b="1" baseline="0"/>
                      <a:t>57.454ln(x) - 294.34</a:t>
                    </a:r>
                    <a:endParaRPr lang="en-US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BRIX_AMT!$L$14:$L$18</c:f>
              <c:numCache>
                <c:formatCode>General</c:formatCode>
                <c:ptCount val="5"/>
                <c:pt idx="0">
                  <c:v>196</c:v>
                </c:pt>
                <c:pt idx="1">
                  <c:v>211</c:v>
                </c:pt>
                <c:pt idx="2">
                  <c:v>218</c:v>
                </c:pt>
                <c:pt idx="3">
                  <c:v>227</c:v>
                </c:pt>
                <c:pt idx="4">
                  <c:v>242</c:v>
                </c:pt>
              </c:numCache>
            </c:numRef>
          </c:xVal>
          <c:yVal>
            <c:numRef>
              <c:f>BRIX_AMT!$M$14:$M$18</c:f>
              <c:numCache>
                <c:formatCode>General</c:formatCode>
                <c:ptCount val="5"/>
                <c:pt idx="0">
                  <c:v>9.1911764705882355</c:v>
                </c:pt>
                <c:pt idx="1">
                  <c:v>12.147058823529411</c:v>
                </c:pt>
                <c:pt idx="2">
                  <c:v>15.058823529411764</c:v>
                </c:pt>
                <c:pt idx="3">
                  <c:v>18.514705882352942</c:v>
                </c:pt>
                <c:pt idx="4">
                  <c:v>20.544117647058822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66-4780-83EC-F61F308E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391696"/>
        <c:axId val="378386416"/>
      </c:scatterChart>
      <c:valAx>
        <c:axId val="37839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JULIAN</a:t>
                </a:r>
                <a:r>
                  <a:rPr lang="en-US" b="1" baseline="0">
                    <a:solidFill>
                      <a:schemeClr val="tx1"/>
                    </a:solidFill>
                  </a:rPr>
                  <a:t>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86416"/>
        <c:crosses val="autoZero"/>
        <c:crossBetween val="midCat"/>
      </c:valAx>
      <c:valAx>
        <c:axId val="37838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alpha val="89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ln>
                      <a:noFill/>
                    </a:ln>
                    <a:solidFill>
                      <a:schemeClr val="tx1">
                        <a:alpha val="89000"/>
                      </a:schemeClr>
                    </a:solidFill>
                  </a:rPr>
                  <a:t>BRIX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alpha val="8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9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11</xdr:row>
      <xdr:rowOff>147637</xdr:rowOff>
    </xdr:from>
    <xdr:to>
      <xdr:col>21</xdr:col>
      <xdr:colOff>352425</xdr:colOff>
      <xdr:row>26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4303D-93F1-6B81-9062-3D0CDD1EA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2A90-8A20-4824-99A7-D02EF0D5808D}">
  <dimension ref="A1:S70"/>
  <sheetViews>
    <sheetView tabSelected="1" workbookViewId="0">
      <selection activeCell="X21" sqref="X21"/>
    </sheetView>
  </sheetViews>
  <sheetFormatPr defaultRowHeight="15" x14ac:dyDescent="0.25"/>
  <cols>
    <col min="11" max="11" width="10.42578125" customWidth="1"/>
    <col min="12" max="12" width="13.8554687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x14ac:dyDescent="0.25">
      <c r="A2">
        <v>1</v>
      </c>
      <c r="B2">
        <v>12</v>
      </c>
      <c r="C2">
        <v>15</v>
      </c>
      <c r="D2">
        <v>18</v>
      </c>
      <c r="E2">
        <v>22</v>
      </c>
      <c r="F2">
        <v>24</v>
      </c>
      <c r="G2">
        <v>605659.38</v>
      </c>
      <c r="H2">
        <v>4571139.1390000004</v>
      </c>
    </row>
    <row r="3" spans="1:13" x14ac:dyDescent="0.25">
      <c r="A3">
        <v>2</v>
      </c>
      <c r="B3">
        <v>12</v>
      </c>
      <c r="C3">
        <v>15</v>
      </c>
      <c r="D3">
        <v>18</v>
      </c>
      <c r="E3">
        <v>22</v>
      </c>
      <c r="F3">
        <v>23</v>
      </c>
      <c r="G3">
        <v>605708.16500000004</v>
      </c>
      <c r="H3">
        <v>4571138.6849999996</v>
      </c>
    </row>
    <row r="4" spans="1:13" x14ac:dyDescent="0.25">
      <c r="A4">
        <v>3</v>
      </c>
      <c r="B4">
        <v>7</v>
      </c>
      <c r="C4">
        <v>10</v>
      </c>
      <c r="D4">
        <v>13</v>
      </c>
      <c r="E4">
        <v>16</v>
      </c>
      <c r="F4">
        <v>20</v>
      </c>
      <c r="G4">
        <v>605734.26300000004</v>
      </c>
      <c r="H4">
        <v>4571136.7750000004</v>
      </c>
    </row>
    <row r="5" spans="1:13" x14ac:dyDescent="0.25">
      <c r="A5">
        <v>4</v>
      </c>
      <c r="B5">
        <v>5</v>
      </c>
      <c r="C5">
        <v>8</v>
      </c>
      <c r="D5">
        <v>11</v>
      </c>
      <c r="E5">
        <v>14</v>
      </c>
      <c r="F5">
        <v>16</v>
      </c>
      <c r="G5">
        <v>605814.23699999996</v>
      </c>
      <c r="H5">
        <v>4571137.6840000004</v>
      </c>
    </row>
    <row r="6" spans="1:13" x14ac:dyDescent="0.25">
      <c r="A6">
        <v>5</v>
      </c>
      <c r="B6">
        <v>11</v>
      </c>
      <c r="C6">
        <v>14</v>
      </c>
      <c r="D6">
        <v>17</v>
      </c>
      <c r="E6">
        <v>21</v>
      </c>
      <c r="F6">
        <v>23</v>
      </c>
      <c r="G6">
        <v>605835.06000000006</v>
      </c>
      <c r="H6">
        <v>4571136.7750000004</v>
      </c>
      <c r="J6" s="3" t="s">
        <v>8</v>
      </c>
      <c r="K6" s="3" t="s">
        <v>9</v>
      </c>
      <c r="L6" s="3"/>
    </row>
    <row r="7" spans="1:13" x14ac:dyDescent="0.25">
      <c r="A7">
        <v>6</v>
      </c>
      <c r="B7">
        <v>9</v>
      </c>
      <c r="C7">
        <v>12</v>
      </c>
      <c r="D7">
        <v>15</v>
      </c>
      <c r="E7">
        <v>18</v>
      </c>
      <c r="F7">
        <v>20</v>
      </c>
      <c r="G7">
        <v>605857.33900000004</v>
      </c>
      <c r="H7">
        <v>4571139.5939999996</v>
      </c>
      <c r="J7" t="s">
        <v>1</v>
      </c>
      <c r="K7">
        <v>196</v>
      </c>
    </row>
    <row r="8" spans="1:13" x14ac:dyDescent="0.25">
      <c r="A8">
        <v>7</v>
      </c>
      <c r="B8">
        <v>7</v>
      </c>
      <c r="C8">
        <v>10</v>
      </c>
      <c r="D8">
        <v>13</v>
      </c>
      <c r="E8">
        <v>16</v>
      </c>
      <c r="F8">
        <v>19</v>
      </c>
      <c r="G8">
        <v>605880.43500000006</v>
      </c>
      <c r="H8">
        <v>4571138.1390000004</v>
      </c>
      <c r="J8" t="s">
        <v>11</v>
      </c>
      <c r="K8">
        <v>211</v>
      </c>
    </row>
    <row r="9" spans="1:13" x14ac:dyDescent="0.25">
      <c r="A9">
        <v>8</v>
      </c>
      <c r="B9">
        <v>4</v>
      </c>
      <c r="C9">
        <v>6</v>
      </c>
      <c r="D9">
        <v>11</v>
      </c>
      <c r="E9">
        <v>13</v>
      </c>
      <c r="F9">
        <v>15</v>
      </c>
      <c r="G9">
        <v>605641.92099999997</v>
      </c>
      <c r="H9">
        <v>4571161.5080000004</v>
      </c>
      <c r="J9" t="s">
        <v>12</v>
      </c>
      <c r="K9">
        <v>218</v>
      </c>
    </row>
    <row r="10" spans="1:13" x14ac:dyDescent="0.25">
      <c r="A10">
        <v>9</v>
      </c>
      <c r="B10">
        <v>13</v>
      </c>
      <c r="C10">
        <v>16</v>
      </c>
      <c r="D10">
        <v>19</v>
      </c>
      <c r="E10">
        <v>22</v>
      </c>
      <c r="F10">
        <v>24</v>
      </c>
      <c r="G10">
        <v>605668.47400000005</v>
      </c>
      <c r="H10">
        <v>4571161.1449999996</v>
      </c>
      <c r="J10" t="s">
        <v>13</v>
      </c>
      <c r="K10">
        <v>227</v>
      </c>
    </row>
    <row r="11" spans="1:13" x14ac:dyDescent="0.25">
      <c r="A11">
        <v>10</v>
      </c>
      <c r="B11">
        <v>13</v>
      </c>
      <c r="C11">
        <v>16</v>
      </c>
      <c r="D11">
        <v>19</v>
      </c>
      <c r="E11">
        <v>23</v>
      </c>
      <c r="F11">
        <v>23</v>
      </c>
      <c r="G11">
        <v>605694.11600000004</v>
      </c>
      <c r="H11">
        <v>4571160.5990000004</v>
      </c>
      <c r="J11" t="s">
        <v>14</v>
      </c>
      <c r="K11">
        <v>242</v>
      </c>
    </row>
    <row r="12" spans="1:13" x14ac:dyDescent="0.25">
      <c r="A12">
        <v>11</v>
      </c>
      <c r="B12">
        <v>11</v>
      </c>
      <c r="C12">
        <v>14</v>
      </c>
      <c r="D12">
        <v>18</v>
      </c>
      <c r="E12">
        <v>22</v>
      </c>
      <c r="F12">
        <v>23</v>
      </c>
      <c r="G12">
        <v>605715.71299999999</v>
      </c>
      <c r="H12">
        <v>4571163.7819999997</v>
      </c>
    </row>
    <row r="13" spans="1:13" x14ac:dyDescent="0.25">
      <c r="A13">
        <v>12</v>
      </c>
      <c r="B13">
        <v>10</v>
      </c>
      <c r="C13">
        <v>13</v>
      </c>
      <c r="D13">
        <v>16</v>
      </c>
      <c r="E13">
        <v>19</v>
      </c>
      <c r="F13">
        <v>22</v>
      </c>
      <c r="G13">
        <v>605743.53799999994</v>
      </c>
      <c r="H13">
        <v>4571161.5990000004</v>
      </c>
      <c r="L13" s="3" t="s">
        <v>9</v>
      </c>
      <c r="M13" s="3" t="s">
        <v>10</v>
      </c>
    </row>
    <row r="14" spans="1:13" x14ac:dyDescent="0.25">
      <c r="A14">
        <v>13</v>
      </c>
      <c r="B14">
        <v>7</v>
      </c>
      <c r="C14">
        <v>10</v>
      </c>
      <c r="D14">
        <v>13</v>
      </c>
      <c r="E14">
        <v>16</v>
      </c>
      <c r="F14">
        <v>20</v>
      </c>
      <c r="G14">
        <v>605766.08900000004</v>
      </c>
      <c r="H14">
        <v>4571160.6900000004</v>
      </c>
      <c r="L14">
        <v>196</v>
      </c>
      <c r="M14">
        <v>9.1911764705882355</v>
      </c>
    </row>
    <row r="15" spans="1:13" x14ac:dyDescent="0.25">
      <c r="A15">
        <v>14</v>
      </c>
      <c r="B15">
        <v>9</v>
      </c>
      <c r="C15">
        <v>12</v>
      </c>
      <c r="D15">
        <v>14</v>
      </c>
      <c r="E15">
        <v>18</v>
      </c>
      <c r="F15">
        <v>19</v>
      </c>
      <c r="G15">
        <v>605793.06000000006</v>
      </c>
      <c r="H15">
        <v>4571162.5939999996</v>
      </c>
      <c r="L15">
        <v>211</v>
      </c>
      <c r="M15">
        <v>12.147058823529411</v>
      </c>
    </row>
    <row r="16" spans="1:13" x14ac:dyDescent="0.25">
      <c r="A16">
        <v>15</v>
      </c>
      <c r="B16">
        <v>6</v>
      </c>
      <c r="C16">
        <v>9</v>
      </c>
      <c r="D16">
        <v>12</v>
      </c>
      <c r="E16">
        <v>15</v>
      </c>
      <c r="F16">
        <v>17</v>
      </c>
      <c r="G16">
        <v>605815.60100000002</v>
      </c>
      <c r="H16">
        <v>4571164.1459999997</v>
      </c>
      <c r="L16">
        <v>218</v>
      </c>
      <c r="M16">
        <v>15.058823529411764</v>
      </c>
    </row>
    <row r="17" spans="1:13" x14ac:dyDescent="0.25">
      <c r="A17">
        <v>16</v>
      </c>
      <c r="B17">
        <v>10</v>
      </c>
      <c r="C17">
        <v>13</v>
      </c>
      <c r="D17">
        <v>16</v>
      </c>
      <c r="E17">
        <v>19</v>
      </c>
      <c r="F17">
        <v>21</v>
      </c>
      <c r="G17">
        <v>605843.06000000006</v>
      </c>
      <c r="H17">
        <v>4571162.5939999996</v>
      </c>
      <c r="L17">
        <v>227</v>
      </c>
      <c r="M17">
        <v>18.514705882352942</v>
      </c>
    </row>
    <row r="18" spans="1:13" x14ac:dyDescent="0.25">
      <c r="A18">
        <v>17</v>
      </c>
      <c r="B18">
        <v>12</v>
      </c>
      <c r="C18">
        <v>15</v>
      </c>
      <c r="D18">
        <v>18</v>
      </c>
      <c r="E18">
        <v>21</v>
      </c>
      <c r="F18">
        <v>23</v>
      </c>
      <c r="G18">
        <v>605869.06900000002</v>
      </c>
      <c r="H18">
        <v>4571162.1449999996</v>
      </c>
      <c r="L18">
        <v>242</v>
      </c>
      <c r="M18">
        <v>20.544117647058822</v>
      </c>
    </row>
    <row r="19" spans="1:13" x14ac:dyDescent="0.25">
      <c r="A19">
        <v>18</v>
      </c>
      <c r="B19">
        <v>13</v>
      </c>
      <c r="C19">
        <v>16</v>
      </c>
      <c r="D19">
        <v>19</v>
      </c>
      <c r="E19">
        <v>23</v>
      </c>
      <c r="F19">
        <v>24</v>
      </c>
      <c r="G19">
        <v>605894.89300000004</v>
      </c>
      <c r="H19">
        <v>4571162.3269999996</v>
      </c>
      <c r="L19">
        <f>L18+7</f>
        <v>249</v>
      </c>
      <c r="M19">
        <f>57.454*LN(L19)-294.34</f>
        <v>22.659738713483307</v>
      </c>
    </row>
    <row r="20" spans="1:13" x14ac:dyDescent="0.25">
      <c r="A20">
        <v>19</v>
      </c>
      <c r="B20">
        <v>10</v>
      </c>
      <c r="C20">
        <v>13</v>
      </c>
      <c r="D20">
        <v>16</v>
      </c>
      <c r="E20">
        <v>20</v>
      </c>
      <c r="F20">
        <v>22</v>
      </c>
      <c r="G20">
        <v>605655.652</v>
      </c>
      <c r="H20">
        <v>4571187.97</v>
      </c>
      <c r="L20">
        <f t="shared" ref="L20:L22" si="0">L19+7</f>
        <v>256</v>
      </c>
      <c r="M20">
        <f t="shared" ref="M20:M22" si="1">57.454*LN(L20)-294.34</f>
        <v>24.252624895128804</v>
      </c>
    </row>
    <row r="21" spans="1:13" x14ac:dyDescent="0.25">
      <c r="A21">
        <v>20</v>
      </c>
      <c r="B21">
        <v>16</v>
      </c>
      <c r="C21">
        <v>19</v>
      </c>
      <c r="D21">
        <v>22</v>
      </c>
      <c r="E21">
        <v>26</v>
      </c>
      <c r="F21">
        <v>27</v>
      </c>
      <c r="G21">
        <v>605677.88500000001</v>
      </c>
      <c r="H21">
        <v>4571188.8789999997</v>
      </c>
      <c r="L21">
        <f t="shared" si="0"/>
        <v>263</v>
      </c>
      <c r="M21">
        <f t="shared" si="1"/>
        <v>25.802537764741317</v>
      </c>
    </row>
    <row r="22" spans="1:13" x14ac:dyDescent="0.25">
      <c r="A22">
        <v>21</v>
      </c>
      <c r="B22">
        <v>14</v>
      </c>
      <c r="C22">
        <v>17</v>
      </c>
      <c r="D22">
        <v>20</v>
      </c>
      <c r="E22">
        <v>24</v>
      </c>
      <c r="F22">
        <v>24</v>
      </c>
      <c r="G22">
        <v>605728.06000000006</v>
      </c>
      <c r="H22">
        <v>4571187.5939999996</v>
      </c>
      <c r="L22">
        <f t="shared" si="0"/>
        <v>270</v>
      </c>
      <c r="M22">
        <f t="shared" si="1"/>
        <v>27.311735232292676</v>
      </c>
    </row>
    <row r="23" spans="1:13" x14ac:dyDescent="0.25">
      <c r="A23">
        <v>22</v>
      </c>
      <c r="B23">
        <v>9</v>
      </c>
      <c r="C23">
        <v>12</v>
      </c>
      <c r="D23">
        <v>15</v>
      </c>
      <c r="E23">
        <v>19</v>
      </c>
      <c r="F23">
        <v>21</v>
      </c>
      <c r="G23">
        <v>605753.06000000006</v>
      </c>
      <c r="H23">
        <v>4571187.5939999996</v>
      </c>
    </row>
    <row r="24" spans="1:13" x14ac:dyDescent="0.25">
      <c r="A24">
        <v>23</v>
      </c>
      <c r="B24">
        <v>4</v>
      </c>
      <c r="C24">
        <v>7</v>
      </c>
      <c r="D24">
        <v>10</v>
      </c>
      <c r="E24">
        <v>13</v>
      </c>
      <c r="F24">
        <v>16</v>
      </c>
      <c r="G24">
        <v>605778.06000000006</v>
      </c>
      <c r="H24">
        <v>4571187.5939999996</v>
      </c>
    </row>
    <row r="25" spans="1:13" x14ac:dyDescent="0.25">
      <c r="A25">
        <v>24</v>
      </c>
      <c r="B25">
        <v>8</v>
      </c>
      <c r="C25">
        <v>11</v>
      </c>
      <c r="D25">
        <v>14</v>
      </c>
      <c r="E25">
        <v>17</v>
      </c>
      <c r="F25">
        <v>20</v>
      </c>
      <c r="G25">
        <v>605803.06000000006</v>
      </c>
      <c r="H25">
        <v>4571187.5939999996</v>
      </c>
    </row>
    <row r="26" spans="1:13" x14ac:dyDescent="0.25">
      <c r="A26">
        <v>25</v>
      </c>
      <c r="B26">
        <v>15</v>
      </c>
      <c r="C26">
        <v>18</v>
      </c>
      <c r="D26">
        <v>21</v>
      </c>
      <c r="E26">
        <v>24</v>
      </c>
      <c r="F26">
        <v>26</v>
      </c>
      <c r="G26">
        <v>605828.06000000006</v>
      </c>
      <c r="H26">
        <v>4571187.5939999996</v>
      </c>
    </row>
    <row r="27" spans="1:13" x14ac:dyDescent="0.25">
      <c r="A27">
        <v>26</v>
      </c>
      <c r="B27">
        <v>4</v>
      </c>
      <c r="C27">
        <v>6</v>
      </c>
      <c r="D27">
        <v>9</v>
      </c>
      <c r="E27">
        <v>12</v>
      </c>
      <c r="F27">
        <v>15</v>
      </c>
      <c r="G27">
        <v>605853.06000000006</v>
      </c>
      <c r="H27">
        <v>4571187.5939999996</v>
      </c>
    </row>
    <row r="28" spans="1:13" x14ac:dyDescent="0.25">
      <c r="A28">
        <v>27</v>
      </c>
      <c r="B28">
        <v>9</v>
      </c>
      <c r="C28">
        <v>12</v>
      </c>
      <c r="D28">
        <v>15</v>
      </c>
      <c r="E28">
        <v>18</v>
      </c>
      <c r="F28">
        <v>21</v>
      </c>
      <c r="G28">
        <v>605663.06000000006</v>
      </c>
      <c r="H28">
        <v>4571212.5939999996</v>
      </c>
      <c r="K28" s="3" t="s">
        <v>8</v>
      </c>
      <c r="L28" s="3" t="s">
        <v>9</v>
      </c>
      <c r="M28" s="3" t="s">
        <v>10</v>
      </c>
    </row>
    <row r="29" spans="1:13" x14ac:dyDescent="0.25">
      <c r="A29">
        <v>28</v>
      </c>
      <c r="B29">
        <v>11</v>
      </c>
      <c r="C29">
        <v>14</v>
      </c>
      <c r="D29">
        <v>18</v>
      </c>
      <c r="E29">
        <v>22</v>
      </c>
      <c r="F29">
        <v>23</v>
      </c>
      <c r="G29">
        <v>605688.88800000004</v>
      </c>
      <c r="H29">
        <v>4571210.43</v>
      </c>
      <c r="K29" t="s">
        <v>1</v>
      </c>
      <c r="L29">
        <v>196</v>
      </c>
      <c r="M29">
        <v>9.1911764705882355</v>
      </c>
    </row>
    <row r="30" spans="1:13" x14ac:dyDescent="0.25">
      <c r="A30">
        <v>29</v>
      </c>
      <c r="B30">
        <v>5</v>
      </c>
      <c r="C30">
        <v>8</v>
      </c>
      <c r="D30">
        <v>10</v>
      </c>
      <c r="E30">
        <v>13</v>
      </c>
      <c r="F30">
        <v>17</v>
      </c>
      <c r="G30">
        <v>605759.86</v>
      </c>
      <c r="H30">
        <v>4571219.8870000001</v>
      </c>
      <c r="K30" t="s">
        <v>11</v>
      </c>
      <c r="L30">
        <v>211</v>
      </c>
      <c r="M30">
        <v>12.147058823529411</v>
      </c>
    </row>
    <row r="31" spans="1:13" x14ac:dyDescent="0.25">
      <c r="A31">
        <v>30</v>
      </c>
      <c r="B31">
        <v>8</v>
      </c>
      <c r="C31">
        <v>11</v>
      </c>
      <c r="D31">
        <v>15</v>
      </c>
      <c r="E31">
        <v>19</v>
      </c>
      <c r="F31">
        <v>21</v>
      </c>
      <c r="G31">
        <v>605789.049</v>
      </c>
      <c r="H31">
        <v>4571213.9759999998</v>
      </c>
      <c r="K31" t="s">
        <v>12</v>
      </c>
      <c r="L31">
        <v>218</v>
      </c>
      <c r="M31">
        <v>15.058823529411764</v>
      </c>
    </row>
    <row r="32" spans="1:13" x14ac:dyDescent="0.25">
      <c r="A32">
        <v>31</v>
      </c>
      <c r="B32">
        <v>15</v>
      </c>
      <c r="C32">
        <v>18</v>
      </c>
      <c r="D32">
        <v>21</v>
      </c>
      <c r="E32">
        <v>25</v>
      </c>
      <c r="F32">
        <v>25</v>
      </c>
      <c r="G32">
        <v>605812.41799999995</v>
      </c>
      <c r="H32">
        <v>4571211.43</v>
      </c>
      <c r="K32" t="s">
        <v>13</v>
      </c>
      <c r="L32">
        <v>227</v>
      </c>
      <c r="M32">
        <v>18.514705882352942</v>
      </c>
    </row>
    <row r="33" spans="1:19" x14ac:dyDescent="0.25">
      <c r="A33">
        <v>32</v>
      </c>
      <c r="B33">
        <v>12</v>
      </c>
      <c r="C33">
        <v>15</v>
      </c>
      <c r="D33">
        <v>17</v>
      </c>
      <c r="E33">
        <v>20</v>
      </c>
      <c r="F33">
        <v>22</v>
      </c>
      <c r="G33">
        <v>605838.06000000006</v>
      </c>
      <c r="H33">
        <v>4571212.5939999996</v>
      </c>
      <c r="K33" t="s">
        <v>14</v>
      </c>
      <c r="L33">
        <v>242</v>
      </c>
      <c r="M33">
        <v>20.544117647058822</v>
      </c>
    </row>
    <row r="34" spans="1:19" x14ac:dyDescent="0.25">
      <c r="A34">
        <v>33</v>
      </c>
      <c r="B34">
        <v>13</v>
      </c>
      <c r="C34">
        <v>16</v>
      </c>
      <c r="D34">
        <v>19</v>
      </c>
      <c r="E34">
        <v>23</v>
      </c>
      <c r="F34">
        <v>24</v>
      </c>
      <c r="G34">
        <v>605863.70400000003</v>
      </c>
      <c r="H34">
        <v>4571213.9759999998</v>
      </c>
    </row>
    <row r="35" spans="1:19" x14ac:dyDescent="0.25">
      <c r="A35">
        <v>34</v>
      </c>
      <c r="B35">
        <v>16</v>
      </c>
      <c r="C35">
        <v>19</v>
      </c>
      <c r="D35">
        <v>22</v>
      </c>
      <c r="E35">
        <v>26</v>
      </c>
      <c r="F35">
        <v>26</v>
      </c>
      <c r="G35">
        <v>605888.34600000002</v>
      </c>
      <c r="H35">
        <v>4571213.8849999998</v>
      </c>
    </row>
    <row r="36" spans="1:19" x14ac:dyDescent="0.25">
      <c r="A36">
        <v>35</v>
      </c>
      <c r="B36">
        <v>9</v>
      </c>
      <c r="C36">
        <v>12</v>
      </c>
      <c r="D36">
        <v>14</v>
      </c>
      <c r="E36">
        <v>18</v>
      </c>
      <c r="F36">
        <v>20</v>
      </c>
      <c r="G36">
        <v>605670.429</v>
      </c>
      <c r="H36">
        <v>4571239.3459999999</v>
      </c>
    </row>
    <row r="37" spans="1:19" ht="15.75" thickBot="1" x14ac:dyDescent="0.3">
      <c r="A37">
        <v>36</v>
      </c>
      <c r="B37">
        <v>9</v>
      </c>
      <c r="C37">
        <v>12</v>
      </c>
      <c r="D37">
        <v>15</v>
      </c>
      <c r="E37">
        <v>18</v>
      </c>
      <c r="F37">
        <v>21</v>
      </c>
      <c r="G37">
        <v>605700.66299999994</v>
      </c>
      <c r="H37">
        <v>4571238.8</v>
      </c>
    </row>
    <row r="38" spans="1:19" x14ac:dyDescent="0.25">
      <c r="A38">
        <v>37</v>
      </c>
      <c r="B38">
        <v>4</v>
      </c>
      <c r="C38">
        <v>7</v>
      </c>
      <c r="D38">
        <v>11</v>
      </c>
      <c r="E38">
        <v>14</v>
      </c>
      <c r="F38">
        <v>17</v>
      </c>
      <c r="G38">
        <v>605724.57799999998</v>
      </c>
      <c r="H38">
        <v>4571238.6189999999</v>
      </c>
      <c r="I38" s="3"/>
      <c r="J38" s="4" t="s">
        <v>1</v>
      </c>
      <c r="K38" s="4"/>
      <c r="L38" s="4" t="s">
        <v>2</v>
      </c>
      <c r="M38" s="4"/>
      <c r="N38" s="4" t="s">
        <v>3</v>
      </c>
      <c r="O38" s="4"/>
      <c r="P38" s="4" t="s">
        <v>4</v>
      </c>
      <c r="Q38" s="4"/>
      <c r="R38" s="4" t="s">
        <v>5</v>
      </c>
      <c r="S38" s="4"/>
    </row>
    <row r="39" spans="1:19" x14ac:dyDescent="0.25">
      <c r="A39">
        <v>38</v>
      </c>
      <c r="B39">
        <v>7</v>
      </c>
      <c r="C39">
        <v>10</v>
      </c>
      <c r="D39">
        <v>13</v>
      </c>
      <c r="E39">
        <v>17</v>
      </c>
      <c r="F39">
        <v>19</v>
      </c>
      <c r="G39">
        <v>605746.67500000005</v>
      </c>
      <c r="H39">
        <v>4571237.2549999999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>
        <v>39</v>
      </c>
      <c r="B40">
        <v>3</v>
      </c>
      <c r="C40">
        <v>6</v>
      </c>
      <c r="D40">
        <v>9</v>
      </c>
      <c r="E40">
        <v>12</v>
      </c>
      <c r="F40">
        <v>17</v>
      </c>
      <c r="G40">
        <v>605774.13600000006</v>
      </c>
      <c r="H40">
        <v>4571233.8899999997</v>
      </c>
      <c r="J40" s="1" t="s">
        <v>15</v>
      </c>
      <c r="K40" s="1">
        <v>9.1911764705882355</v>
      </c>
      <c r="L40" s="1" t="s">
        <v>15</v>
      </c>
      <c r="M40" s="1">
        <v>12.147058823529411</v>
      </c>
      <c r="N40" s="1" t="s">
        <v>15</v>
      </c>
      <c r="O40" s="1">
        <v>15.058823529411764</v>
      </c>
      <c r="P40" s="1" t="s">
        <v>15</v>
      </c>
      <c r="Q40" s="1">
        <v>18.514705882352942</v>
      </c>
      <c r="R40" s="1" t="s">
        <v>15</v>
      </c>
      <c r="S40" s="1">
        <v>20.544117647058822</v>
      </c>
    </row>
    <row r="41" spans="1:19" x14ac:dyDescent="0.25">
      <c r="A41">
        <v>40</v>
      </c>
      <c r="B41">
        <v>4</v>
      </c>
      <c r="C41">
        <v>7</v>
      </c>
      <c r="D41">
        <v>10</v>
      </c>
      <c r="E41">
        <v>13</v>
      </c>
      <c r="F41">
        <v>18</v>
      </c>
      <c r="G41">
        <v>605798.50600000005</v>
      </c>
      <c r="H41">
        <v>4571236.4359999998</v>
      </c>
      <c r="J41" s="1" t="s">
        <v>16</v>
      </c>
      <c r="K41" s="1">
        <v>0.43002815154860419</v>
      </c>
      <c r="L41" s="1" t="s">
        <v>16</v>
      </c>
      <c r="M41" s="1">
        <v>0.44508076324769297</v>
      </c>
      <c r="N41" s="1" t="s">
        <v>16</v>
      </c>
      <c r="O41" s="1">
        <v>0.43692715058360698</v>
      </c>
      <c r="P41" s="1" t="s">
        <v>16</v>
      </c>
      <c r="Q41" s="1">
        <v>0.47246047121971496</v>
      </c>
      <c r="R41" s="1" t="s">
        <v>16</v>
      </c>
      <c r="S41" s="1">
        <v>0.38373071816095411</v>
      </c>
    </row>
    <row r="42" spans="1:19" x14ac:dyDescent="0.25">
      <c r="A42">
        <v>41</v>
      </c>
      <c r="B42">
        <v>7</v>
      </c>
      <c r="C42">
        <v>10</v>
      </c>
      <c r="D42">
        <v>13</v>
      </c>
      <c r="E42">
        <v>16</v>
      </c>
      <c r="F42">
        <v>19</v>
      </c>
      <c r="G42">
        <v>605823.42099999997</v>
      </c>
      <c r="H42">
        <v>4571240.2549999999</v>
      </c>
      <c r="J42" s="1" t="s">
        <v>17</v>
      </c>
      <c r="K42" s="1">
        <v>9</v>
      </c>
      <c r="L42" s="1" t="s">
        <v>17</v>
      </c>
      <c r="M42" s="1">
        <v>12</v>
      </c>
      <c r="N42" s="1" t="s">
        <v>17</v>
      </c>
      <c r="O42" s="1">
        <v>15</v>
      </c>
      <c r="P42" s="1" t="s">
        <v>17</v>
      </c>
      <c r="Q42" s="1">
        <v>18</v>
      </c>
      <c r="R42" s="1" t="s">
        <v>17</v>
      </c>
      <c r="S42" s="1">
        <v>20</v>
      </c>
    </row>
    <row r="43" spans="1:19" x14ac:dyDescent="0.25">
      <c r="A43">
        <v>42</v>
      </c>
      <c r="B43">
        <v>5</v>
      </c>
      <c r="C43">
        <v>8</v>
      </c>
      <c r="D43">
        <v>10</v>
      </c>
      <c r="E43">
        <v>13</v>
      </c>
      <c r="F43">
        <v>16</v>
      </c>
      <c r="G43">
        <v>605847.245</v>
      </c>
      <c r="H43">
        <v>4571238.6189999999</v>
      </c>
      <c r="J43" s="1" t="s">
        <v>18</v>
      </c>
      <c r="K43" s="1">
        <v>7</v>
      </c>
      <c r="L43" s="1" t="s">
        <v>18</v>
      </c>
      <c r="M43" s="1">
        <v>10</v>
      </c>
      <c r="N43" s="1" t="s">
        <v>18</v>
      </c>
      <c r="O43" s="1">
        <v>13</v>
      </c>
      <c r="P43" s="1" t="s">
        <v>18</v>
      </c>
      <c r="Q43" s="1">
        <v>16</v>
      </c>
      <c r="R43" s="1" t="s">
        <v>18</v>
      </c>
      <c r="S43" s="1">
        <v>17</v>
      </c>
    </row>
    <row r="44" spans="1:19" x14ac:dyDescent="0.25">
      <c r="A44">
        <v>43</v>
      </c>
      <c r="B44">
        <v>12</v>
      </c>
      <c r="C44">
        <v>15</v>
      </c>
      <c r="D44">
        <v>18</v>
      </c>
      <c r="E44">
        <v>21</v>
      </c>
      <c r="F44">
        <v>22</v>
      </c>
      <c r="G44">
        <v>605874.34299999999</v>
      </c>
      <c r="H44">
        <v>4571238.7089999998</v>
      </c>
      <c r="J44" s="1" t="s">
        <v>19</v>
      </c>
      <c r="K44" s="1">
        <v>3.5461029816480276</v>
      </c>
      <c r="L44" s="1" t="s">
        <v>19</v>
      </c>
      <c r="M44" s="1">
        <v>3.6702299976015298</v>
      </c>
      <c r="N44" s="1" t="s">
        <v>19</v>
      </c>
      <c r="O44" s="1">
        <v>3.6029935851127295</v>
      </c>
      <c r="P44" s="1" t="s">
        <v>19</v>
      </c>
      <c r="Q44" s="1">
        <v>3.8960088535359554</v>
      </c>
      <c r="R44" s="1" t="s">
        <v>19</v>
      </c>
      <c r="S44" s="1">
        <v>3.16432456554347</v>
      </c>
    </row>
    <row r="45" spans="1:19" x14ac:dyDescent="0.25">
      <c r="A45">
        <v>44</v>
      </c>
      <c r="B45">
        <v>5</v>
      </c>
      <c r="C45">
        <v>7</v>
      </c>
      <c r="D45">
        <v>10</v>
      </c>
      <c r="E45">
        <v>13</v>
      </c>
      <c r="F45">
        <v>16</v>
      </c>
      <c r="G45">
        <v>605921.80900000001</v>
      </c>
      <c r="H45">
        <v>4571231.9809999997</v>
      </c>
      <c r="J45" s="1" t="s">
        <v>20</v>
      </c>
      <c r="K45" s="1">
        <v>12.574846356453032</v>
      </c>
      <c r="L45" s="1" t="s">
        <v>20</v>
      </c>
      <c r="M45" s="1">
        <v>13.470588235294125</v>
      </c>
      <c r="N45" s="1" t="s">
        <v>20</v>
      </c>
      <c r="O45" s="1">
        <v>12.98156277436348</v>
      </c>
      <c r="P45" s="1" t="s">
        <v>20</v>
      </c>
      <c r="Q45" s="1">
        <v>15.17888498683055</v>
      </c>
      <c r="R45" s="1" t="s">
        <v>20</v>
      </c>
      <c r="S45" s="1">
        <v>10.012949956101869</v>
      </c>
    </row>
    <row r="46" spans="1:19" x14ac:dyDescent="0.25">
      <c r="A46">
        <v>47</v>
      </c>
      <c r="B46">
        <v>9</v>
      </c>
      <c r="C46">
        <v>12</v>
      </c>
      <c r="D46">
        <v>15</v>
      </c>
      <c r="E46">
        <v>19</v>
      </c>
      <c r="F46">
        <v>21</v>
      </c>
      <c r="G46">
        <v>605733.21699999995</v>
      </c>
      <c r="H46">
        <v>4571263.716</v>
      </c>
      <c r="J46" s="1" t="s">
        <v>21</v>
      </c>
      <c r="K46" s="1">
        <v>-0.94829468843742371</v>
      </c>
      <c r="L46" s="1" t="s">
        <v>21</v>
      </c>
      <c r="M46" s="1">
        <v>-0.89816329749980595</v>
      </c>
      <c r="N46" s="1" t="s">
        <v>21</v>
      </c>
      <c r="O46" s="1">
        <v>-1.0184933296594267</v>
      </c>
      <c r="P46" s="1" t="s">
        <v>21</v>
      </c>
      <c r="Q46" s="1">
        <v>-1.0075266085288019</v>
      </c>
      <c r="R46" s="1" t="s">
        <v>21</v>
      </c>
      <c r="S46" s="1">
        <v>-1.0512891201841565</v>
      </c>
    </row>
    <row r="47" spans="1:19" x14ac:dyDescent="0.25">
      <c r="A47">
        <v>48</v>
      </c>
      <c r="B47">
        <v>5</v>
      </c>
      <c r="C47">
        <v>6</v>
      </c>
      <c r="D47">
        <v>10</v>
      </c>
      <c r="E47">
        <v>13</v>
      </c>
      <c r="F47">
        <v>16</v>
      </c>
      <c r="G47">
        <v>605759.40500000003</v>
      </c>
      <c r="H47">
        <v>4571261.9879999999</v>
      </c>
      <c r="J47" s="1" t="s">
        <v>22</v>
      </c>
      <c r="K47" s="1">
        <v>0.25150870441049544</v>
      </c>
      <c r="L47" s="1" t="s">
        <v>22</v>
      </c>
      <c r="M47" s="1">
        <v>0.16286112592479807</v>
      </c>
      <c r="N47" s="1" t="s">
        <v>22</v>
      </c>
      <c r="O47" s="1">
        <v>0.21123781682359702</v>
      </c>
      <c r="P47" s="1" t="s">
        <v>22</v>
      </c>
      <c r="Q47" s="1">
        <v>0.18030319575038473</v>
      </c>
      <c r="R47" s="1" t="s">
        <v>22</v>
      </c>
      <c r="S47" s="1">
        <v>0.11014955725295657</v>
      </c>
    </row>
    <row r="48" spans="1:19" x14ac:dyDescent="0.25">
      <c r="A48">
        <v>49</v>
      </c>
      <c r="B48">
        <v>5</v>
      </c>
      <c r="C48">
        <v>8</v>
      </c>
      <c r="D48">
        <v>11</v>
      </c>
      <c r="E48">
        <v>15</v>
      </c>
      <c r="F48">
        <v>17</v>
      </c>
      <c r="G48">
        <v>605783.13800000004</v>
      </c>
      <c r="H48">
        <v>4571263.807</v>
      </c>
      <c r="J48" s="1" t="s">
        <v>23</v>
      </c>
      <c r="K48" s="1">
        <v>13</v>
      </c>
      <c r="L48" s="1" t="s">
        <v>23</v>
      </c>
      <c r="M48" s="1">
        <v>13</v>
      </c>
      <c r="N48" s="1" t="s">
        <v>23</v>
      </c>
      <c r="O48" s="1">
        <v>13</v>
      </c>
      <c r="P48" s="1" t="s">
        <v>23</v>
      </c>
      <c r="Q48" s="1">
        <v>14</v>
      </c>
      <c r="R48" s="1" t="s">
        <v>23</v>
      </c>
      <c r="S48" s="1">
        <v>12</v>
      </c>
    </row>
    <row r="49" spans="1:19" x14ac:dyDescent="0.25">
      <c r="A49">
        <v>50</v>
      </c>
      <c r="B49">
        <v>15</v>
      </c>
      <c r="C49">
        <v>18</v>
      </c>
      <c r="D49">
        <v>21</v>
      </c>
      <c r="E49">
        <v>25</v>
      </c>
      <c r="F49">
        <v>25</v>
      </c>
      <c r="G49">
        <v>605808.06000000006</v>
      </c>
      <c r="H49">
        <v>4571262.5939999996</v>
      </c>
      <c r="J49" s="1" t="s">
        <v>24</v>
      </c>
      <c r="K49" s="1">
        <v>3</v>
      </c>
      <c r="L49" s="1" t="s">
        <v>24</v>
      </c>
      <c r="M49" s="1">
        <v>6</v>
      </c>
      <c r="N49" s="1" t="s">
        <v>24</v>
      </c>
      <c r="O49" s="1">
        <v>9</v>
      </c>
      <c r="P49" s="1" t="s">
        <v>24</v>
      </c>
      <c r="Q49" s="1">
        <v>12</v>
      </c>
      <c r="R49" s="1" t="s">
        <v>24</v>
      </c>
      <c r="S49" s="1">
        <v>15</v>
      </c>
    </row>
    <row r="50" spans="1:19" x14ac:dyDescent="0.25">
      <c r="A50">
        <v>51</v>
      </c>
      <c r="B50">
        <v>8</v>
      </c>
      <c r="C50">
        <v>10</v>
      </c>
      <c r="D50">
        <v>12</v>
      </c>
      <c r="E50">
        <v>16</v>
      </c>
      <c r="F50">
        <v>17</v>
      </c>
      <c r="G50">
        <v>605835.652</v>
      </c>
      <c r="H50">
        <v>4571263.7910000002</v>
      </c>
      <c r="J50" s="1" t="s">
        <v>25</v>
      </c>
      <c r="K50" s="1">
        <v>16</v>
      </c>
      <c r="L50" s="1" t="s">
        <v>25</v>
      </c>
      <c r="M50" s="1">
        <v>19</v>
      </c>
      <c r="N50" s="1" t="s">
        <v>25</v>
      </c>
      <c r="O50" s="1">
        <v>22</v>
      </c>
      <c r="P50" s="1" t="s">
        <v>25</v>
      </c>
      <c r="Q50" s="1">
        <v>26</v>
      </c>
      <c r="R50" s="1" t="s">
        <v>25</v>
      </c>
      <c r="S50" s="1">
        <v>27</v>
      </c>
    </row>
    <row r="51" spans="1:19" x14ac:dyDescent="0.25">
      <c r="A51">
        <v>52</v>
      </c>
      <c r="B51">
        <v>14</v>
      </c>
      <c r="C51">
        <v>17</v>
      </c>
      <c r="D51">
        <v>19</v>
      </c>
      <c r="E51">
        <v>23</v>
      </c>
      <c r="F51">
        <v>24</v>
      </c>
      <c r="G51">
        <v>605858.23100000003</v>
      </c>
      <c r="H51">
        <v>4571263.477</v>
      </c>
      <c r="J51" s="1" t="s">
        <v>26</v>
      </c>
      <c r="K51" s="1">
        <v>625</v>
      </c>
      <c r="L51" s="1" t="s">
        <v>26</v>
      </c>
      <c r="M51" s="1">
        <v>826</v>
      </c>
      <c r="N51" s="1" t="s">
        <v>26</v>
      </c>
      <c r="O51" s="1">
        <v>1024</v>
      </c>
      <c r="P51" s="1" t="s">
        <v>26</v>
      </c>
      <c r="Q51" s="1">
        <v>1259</v>
      </c>
      <c r="R51" s="1" t="s">
        <v>26</v>
      </c>
      <c r="S51" s="1">
        <v>1397</v>
      </c>
    </row>
    <row r="52" spans="1:19" ht="15.75" thickBot="1" x14ac:dyDescent="0.3">
      <c r="A52">
        <v>53</v>
      </c>
      <c r="B52">
        <v>7</v>
      </c>
      <c r="C52">
        <v>10</v>
      </c>
      <c r="D52">
        <v>13</v>
      </c>
      <c r="E52">
        <v>17</v>
      </c>
      <c r="F52">
        <v>19</v>
      </c>
      <c r="G52">
        <v>605881.61699999997</v>
      </c>
      <c r="H52">
        <v>4571260.9879999999</v>
      </c>
      <c r="J52" s="2" t="s">
        <v>27</v>
      </c>
      <c r="K52" s="2">
        <v>68</v>
      </c>
      <c r="L52" s="2" t="s">
        <v>27</v>
      </c>
      <c r="M52" s="2">
        <v>68</v>
      </c>
      <c r="N52" s="2" t="s">
        <v>27</v>
      </c>
      <c r="O52" s="2">
        <v>68</v>
      </c>
      <c r="P52" s="2" t="s">
        <v>27</v>
      </c>
      <c r="Q52" s="2">
        <v>68</v>
      </c>
      <c r="R52" s="2" t="s">
        <v>27</v>
      </c>
      <c r="S52" s="2">
        <v>68</v>
      </c>
    </row>
    <row r="53" spans="1:19" x14ac:dyDescent="0.25">
      <c r="A53">
        <v>54</v>
      </c>
      <c r="B53">
        <v>7</v>
      </c>
      <c r="C53">
        <v>10</v>
      </c>
      <c r="D53">
        <v>12</v>
      </c>
      <c r="E53">
        <v>15</v>
      </c>
      <c r="F53">
        <v>18</v>
      </c>
      <c r="G53">
        <v>605905.35100000002</v>
      </c>
      <c r="H53">
        <v>4571263.352</v>
      </c>
    </row>
    <row r="54" spans="1:19" x14ac:dyDescent="0.25">
      <c r="A54">
        <v>55</v>
      </c>
      <c r="B54">
        <v>14</v>
      </c>
      <c r="C54">
        <v>17</v>
      </c>
      <c r="D54">
        <v>20</v>
      </c>
      <c r="E54">
        <v>24</v>
      </c>
      <c r="F54">
        <v>25</v>
      </c>
      <c r="G54">
        <v>605937.08600000001</v>
      </c>
      <c r="H54">
        <v>4571262.8969999999</v>
      </c>
    </row>
    <row r="55" spans="1:19" x14ac:dyDescent="0.25">
      <c r="A55">
        <v>56</v>
      </c>
      <c r="B55">
        <v>10</v>
      </c>
      <c r="C55">
        <v>13</v>
      </c>
      <c r="D55">
        <v>16</v>
      </c>
      <c r="E55">
        <v>20</v>
      </c>
      <c r="F55">
        <v>23</v>
      </c>
      <c r="G55">
        <v>605741.85499999998</v>
      </c>
      <c r="H55">
        <v>4571288.358</v>
      </c>
    </row>
    <row r="56" spans="1:19" x14ac:dyDescent="0.25">
      <c r="A56">
        <v>57</v>
      </c>
      <c r="B56">
        <v>11</v>
      </c>
      <c r="C56">
        <v>14</v>
      </c>
      <c r="D56">
        <v>17</v>
      </c>
      <c r="E56">
        <v>21</v>
      </c>
      <c r="F56">
        <v>22</v>
      </c>
      <c r="G56">
        <v>605767.31599999999</v>
      </c>
      <c r="H56">
        <v>4571285.267</v>
      </c>
    </row>
    <row r="57" spans="1:19" x14ac:dyDescent="0.25">
      <c r="A57">
        <v>58</v>
      </c>
      <c r="B57">
        <v>16</v>
      </c>
      <c r="C57">
        <v>19</v>
      </c>
      <c r="D57">
        <v>21</v>
      </c>
      <c r="E57">
        <v>25</v>
      </c>
      <c r="F57">
        <v>26</v>
      </c>
      <c r="G57">
        <v>605793.777</v>
      </c>
      <c r="H57">
        <v>4571288.449</v>
      </c>
    </row>
    <row r="58" spans="1:19" x14ac:dyDescent="0.25">
      <c r="A58">
        <v>59</v>
      </c>
      <c r="B58">
        <v>8</v>
      </c>
      <c r="C58">
        <v>12</v>
      </c>
      <c r="D58">
        <v>15</v>
      </c>
      <c r="E58">
        <v>18</v>
      </c>
      <c r="F58">
        <v>20</v>
      </c>
      <c r="G58">
        <v>605844.89199999999</v>
      </c>
      <c r="H58">
        <v>4571285.4029999999</v>
      </c>
    </row>
    <row r="59" spans="1:19" x14ac:dyDescent="0.25">
      <c r="A59">
        <v>60</v>
      </c>
      <c r="B59">
        <v>9</v>
      </c>
      <c r="C59">
        <v>12</v>
      </c>
      <c r="D59">
        <v>14</v>
      </c>
      <c r="E59">
        <v>18</v>
      </c>
      <c r="F59">
        <v>20</v>
      </c>
      <c r="G59">
        <v>605867.94099999999</v>
      </c>
      <c r="H59">
        <v>4571286.3430000003</v>
      </c>
    </row>
    <row r="60" spans="1:19" x14ac:dyDescent="0.25">
      <c r="A60">
        <v>61</v>
      </c>
      <c r="B60">
        <v>7</v>
      </c>
      <c r="C60">
        <v>11</v>
      </c>
      <c r="D60">
        <v>13</v>
      </c>
      <c r="E60">
        <v>16</v>
      </c>
      <c r="F60">
        <v>19</v>
      </c>
      <c r="G60">
        <v>605728.03399999999</v>
      </c>
      <c r="H60">
        <v>4571313.7280000001</v>
      </c>
    </row>
    <row r="61" spans="1:19" x14ac:dyDescent="0.25">
      <c r="A61">
        <v>62</v>
      </c>
      <c r="B61">
        <v>8</v>
      </c>
      <c r="C61">
        <v>10</v>
      </c>
      <c r="D61">
        <v>13</v>
      </c>
      <c r="E61">
        <v>16</v>
      </c>
      <c r="F61">
        <v>17</v>
      </c>
      <c r="G61">
        <v>605752.76699999999</v>
      </c>
      <c r="H61">
        <v>4571313.7280000001</v>
      </c>
    </row>
    <row r="62" spans="1:19" x14ac:dyDescent="0.25">
      <c r="A62">
        <v>63</v>
      </c>
      <c r="B62">
        <v>9</v>
      </c>
      <c r="C62">
        <v>12</v>
      </c>
      <c r="D62">
        <v>14</v>
      </c>
      <c r="E62">
        <v>17</v>
      </c>
      <c r="F62">
        <v>19</v>
      </c>
      <c r="G62">
        <v>605777.50100000005</v>
      </c>
      <c r="H62">
        <v>4571309.3629999999</v>
      </c>
    </row>
    <row r="63" spans="1:19" x14ac:dyDescent="0.25">
      <c r="A63">
        <v>64</v>
      </c>
      <c r="B63">
        <v>7</v>
      </c>
      <c r="C63">
        <v>10</v>
      </c>
      <c r="D63">
        <v>13</v>
      </c>
      <c r="E63">
        <v>17</v>
      </c>
      <c r="F63">
        <v>18</v>
      </c>
      <c r="G63">
        <v>605804.06900000002</v>
      </c>
      <c r="H63">
        <v>4571312.34</v>
      </c>
    </row>
    <row r="64" spans="1:19" x14ac:dyDescent="0.25">
      <c r="A64">
        <v>65</v>
      </c>
      <c r="B64">
        <v>13</v>
      </c>
      <c r="C64">
        <v>16</v>
      </c>
      <c r="D64">
        <v>19</v>
      </c>
      <c r="E64">
        <v>22</v>
      </c>
      <c r="F64">
        <v>24</v>
      </c>
      <c r="G64">
        <v>605688.75100000005</v>
      </c>
      <c r="H64">
        <v>4571338.6430000002</v>
      </c>
    </row>
    <row r="65" spans="1:8" x14ac:dyDescent="0.25">
      <c r="A65">
        <v>66</v>
      </c>
      <c r="B65">
        <v>7</v>
      </c>
      <c r="C65">
        <v>10</v>
      </c>
      <c r="D65">
        <v>13</v>
      </c>
      <c r="E65">
        <v>16</v>
      </c>
      <c r="F65">
        <v>18</v>
      </c>
      <c r="G65">
        <v>605714.21200000006</v>
      </c>
      <c r="H65">
        <v>4571337.4610000001</v>
      </c>
    </row>
    <row r="66" spans="1:8" x14ac:dyDescent="0.25">
      <c r="A66">
        <v>67</v>
      </c>
      <c r="B66">
        <v>6</v>
      </c>
      <c r="C66">
        <v>9</v>
      </c>
      <c r="D66">
        <v>12</v>
      </c>
      <c r="E66">
        <v>16</v>
      </c>
      <c r="F66">
        <v>18</v>
      </c>
      <c r="G66">
        <v>605737.58200000005</v>
      </c>
      <c r="H66">
        <v>4571336.0970000001</v>
      </c>
    </row>
    <row r="67" spans="1:8" x14ac:dyDescent="0.25">
      <c r="A67">
        <v>68</v>
      </c>
      <c r="B67">
        <v>5</v>
      </c>
      <c r="C67">
        <v>8</v>
      </c>
      <c r="D67">
        <v>11</v>
      </c>
      <c r="E67">
        <v>14</v>
      </c>
      <c r="F67">
        <v>17</v>
      </c>
      <c r="G67">
        <v>605698.02599999995</v>
      </c>
      <c r="H67">
        <v>4571361.1940000001</v>
      </c>
    </row>
    <row r="68" spans="1:8" x14ac:dyDescent="0.25">
      <c r="A68">
        <v>69</v>
      </c>
      <c r="B68">
        <v>14</v>
      </c>
      <c r="C68">
        <v>18</v>
      </c>
      <c r="D68">
        <v>20</v>
      </c>
      <c r="E68">
        <v>24</v>
      </c>
      <c r="F68">
        <v>25</v>
      </c>
      <c r="G68">
        <v>605723.66899999999</v>
      </c>
      <c r="H68">
        <v>4571364.2860000003</v>
      </c>
    </row>
    <row r="69" spans="1:8" x14ac:dyDescent="0.25">
      <c r="A69">
        <v>70</v>
      </c>
      <c r="B69">
        <v>6</v>
      </c>
      <c r="C69">
        <v>10</v>
      </c>
      <c r="D69">
        <v>13</v>
      </c>
      <c r="E69">
        <v>16</v>
      </c>
      <c r="F69">
        <v>18</v>
      </c>
      <c r="G69">
        <v>605741.674</v>
      </c>
      <c r="H69">
        <v>4571355.375</v>
      </c>
    </row>
    <row r="70" spans="1:8" x14ac:dyDescent="0.25">
      <c r="A70" s="3" t="s">
        <v>28</v>
      </c>
      <c r="B70">
        <f>AVERAGE(B2:B69)</f>
        <v>9.1911764705882355</v>
      </c>
      <c r="C70">
        <f t="shared" ref="C70:F70" si="2">AVERAGE(C2:C69)</f>
        <v>12.147058823529411</v>
      </c>
      <c r="D70">
        <f t="shared" si="2"/>
        <v>15.058823529411764</v>
      </c>
      <c r="E70">
        <f t="shared" si="2"/>
        <v>18.514705882352942</v>
      </c>
      <c r="F70">
        <f t="shared" si="2"/>
        <v>20.544117647058822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BRIX_AMT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Naziru Halilu</cp:lastModifiedBy>
  <dcterms:created xsi:type="dcterms:W3CDTF">2026-02-22T19:59:37Z</dcterms:created>
  <dcterms:modified xsi:type="dcterms:W3CDTF">2026-02-22T20:20:41Z</dcterms:modified>
</cp:coreProperties>
</file>